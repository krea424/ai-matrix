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diaf/Library/Mobile Documents/com~apple~CloudDocs/SDA Bocconi/Lezioni - Corsi/Programma AI per il business 2023/Materiali sessioni/Sessione 9 - Costruire l'AI Roadmap/"/>
    </mc:Choice>
  </mc:AlternateContent>
  <xr:revisionPtr revIDLastSave="0" documentId="13_ncr:1_{453D8DC4-867B-ED45-9D0C-7843F916AEA2}" xr6:coauthVersionLast="47" xr6:coauthVersionMax="47" xr10:uidLastSave="{00000000-0000-0000-0000-000000000000}"/>
  <bookViews>
    <workbookView xWindow="0" yWindow="500" windowWidth="28800" windowHeight="15960" xr2:uid="{9BDF58FC-45F3-1E47-A480-15807E57975F}"/>
  </bookViews>
  <sheets>
    <sheet name="Assessment" sheetId="2" r:id="rId1"/>
    <sheet name="AI Matrix Position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  <c r="C11" i="2"/>
  <c r="C2" i="1" s="1"/>
  <c r="D4" i="2"/>
  <c r="G18" i="2"/>
  <c r="B4" i="1" s="1"/>
  <c r="O18" i="2"/>
  <c r="M18" i="2"/>
  <c r="B7" i="1" s="1"/>
  <c r="K18" i="2"/>
  <c r="L18" i="2" s="1"/>
  <c r="I18" i="2"/>
  <c r="J18" i="2" s="1"/>
  <c r="E18" i="2"/>
  <c r="B3" i="1" s="1"/>
  <c r="O11" i="2"/>
  <c r="M11" i="2"/>
  <c r="K11" i="2"/>
  <c r="C6" i="1" s="1"/>
  <c r="I11" i="2"/>
  <c r="C5" i="1" s="1"/>
  <c r="G11" i="2"/>
  <c r="C4" i="1" s="1"/>
  <c r="E11" i="2"/>
  <c r="C3" i="1" s="1"/>
  <c r="C18" i="2"/>
  <c r="B2" i="1" s="1"/>
  <c r="P17" i="2"/>
  <c r="P16" i="2"/>
  <c r="P15" i="2"/>
  <c r="P14" i="2"/>
  <c r="P13" i="2"/>
  <c r="N17" i="2"/>
  <c r="N16" i="2"/>
  <c r="N15" i="2"/>
  <c r="N14" i="2"/>
  <c r="N13" i="2"/>
  <c r="L17" i="2"/>
  <c r="L16" i="2"/>
  <c r="L15" i="2"/>
  <c r="L14" i="2"/>
  <c r="L13" i="2"/>
  <c r="J17" i="2"/>
  <c r="J16" i="2"/>
  <c r="J15" i="2"/>
  <c r="J14" i="2"/>
  <c r="J13" i="2"/>
  <c r="H17" i="2"/>
  <c r="H16" i="2"/>
  <c r="H15" i="2"/>
  <c r="H14" i="2"/>
  <c r="H13" i="2"/>
  <c r="F17" i="2"/>
  <c r="F16" i="2"/>
  <c r="F15" i="2"/>
  <c r="F14" i="2"/>
  <c r="F13" i="2"/>
  <c r="P8" i="2"/>
  <c r="P9" i="2"/>
  <c r="P10" i="2"/>
  <c r="P7" i="2"/>
  <c r="P5" i="2"/>
  <c r="P6" i="2"/>
  <c r="P4" i="2"/>
  <c r="N8" i="2"/>
  <c r="N9" i="2"/>
  <c r="N10" i="2"/>
  <c r="N7" i="2"/>
  <c r="N5" i="2"/>
  <c r="N6" i="2"/>
  <c r="N4" i="2"/>
  <c r="L8" i="2"/>
  <c r="L9" i="2"/>
  <c r="L10" i="2"/>
  <c r="L7" i="2"/>
  <c r="L5" i="2"/>
  <c r="L6" i="2"/>
  <c r="L4" i="2"/>
  <c r="J8" i="2"/>
  <c r="J9" i="2"/>
  <c r="J10" i="2"/>
  <c r="J7" i="2"/>
  <c r="J5" i="2"/>
  <c r="J6" i="2"/>
  <c r="J4" i="2"/>
  <c r="H8" i="2"/>
  <c r="H9" i="2"/>
  <c r="H10" i="2"/>
  <c r="H7" i="2"/>
  <c r="H5" i="2"/>
  <c r="H6" i="2"/>
  <c r="H4" i="2"/>
  <c r="F8" i="2"/>
  <c r="F9" i="2"/>
  <c r="F10" i="2"/>
  <c r="F7" i="2"/>
  <c r="F5" i="2"/>
  <c r="F6" i="2"/>
  <c r="F4" i="2"/>
  <c r="D17" i="2"/>
  <c r="D16" i="2"/>
  <c r="B18" i="2"/>
  <c r="D8" i="2"/>
  <c r="D9" i="2"/>
  <c r="B11" i="2"/>
  <c r="D15" i="2"/>
  <c r="D14" i="2"/>
  <c r="D13" i="2"/>
  <c r="D10" i="2"/>
  <c r="D7" i="2"/>
  <c r="D5" i="2"/>
  <c r="D6" i="2"/>
  <c r="B6" i="1" l="1"/>
  <c r="N11" i="2"/>
  <c r="P11" i="2"/>
  <c r="B5" i="1"/>
  <c r="C7" i="1"/>
  <c r="N18" i="2"/>
  <c r="F18" i="2"/>
  <c r="H18" i="2"/>
  <c r="L11" i="2"/>
  <c r="P18" i="2"/>
  <c r="F11" i="2"/>
  <c r="J11" i="2"/>
  <c r="H11" i="2"/>
  <c r="D11" i="2"/>
  <c r="D18" i="2"/>
</calcChain>
</file>

<file path=xl/sharedStrings.xml><?xml version="1.0" encoding="utf-8"?>
<sst xmlns="http://schemas.openxmlformats.org/spreadsheetml/2006/main" count="58" uniqueCount="41">
  <si>
    <t>Initiative 1</t>
  </si>
  <si>
    <t>Initiative 2</t>
  </si>
  <si>
    <t>Business Impact</t>
  </si>
  <si>
    <t>Technical Feasibility</t>
  </si>
  <si>
    <t>Initiative</t>
  </si>
  <si>
    <t>%</t>
  </si>
  <si>
    <t>Technical feasibility</t>
  </si>
  <si>
    <t>Business impact</t>
  </si>
  <si>
    <t>Scale</t>
  </si>
  <si>
    <t>TOTAL TECHNICAL FEASIBILITY</t>
  </si>
  <si>
    <t>TOTAL BUSINESS IMPACT</t>
  </si>
  <si>
    <t>Technical maturity</t>
  </si>
  <si>
    <t>Infrastructure coherence</t>
  </si>
  <si>
    <t>Regulation</t>
  </si>
  <si>
    <t>Ethical implications</t>
  </si>
  <si>
    <t>Financial compatibility</t>
  </si>
  <si>
    <t>Competences availability</t>
  </si>
  <si>
    <t>Economic impact</t>
  </si>
  <si>
    <t>Organizational impact</t>
  </si>
  <si>
    <t>Impact on clients</t>
  </si>
  <si>
    <t>Learning impact</t>
  </si>
  <si>
    <t>Vote</t>
  </si>
  <si>
    <t>Initiative 3</t>
  </si>
  <si>
    <t>Initiative 4</t>
  </si>
  <si>
    <t>Initiative 5</t>
  </si>
  <si>
    <t>Initiative "n"</t>
  </si>
  <si>
    <t>…</t>
  </si>
  <si>
    <t>Business Impact Scale</t>
  </si>
  <si>
    <t>Low</t>
  </si>
  <si>
    <t>Mid</t>
  </si>
  <si>
    <t>High</t>
  </si>
  <si>
    <t>Label</t>
  </si>
  <si>
    <t>Up to 12 out of 25</t>
  </si>
  <si>
    <t>Technical Feasibility Impact Scale</t>
  </si>
  <si>
    <t>Up to 19 out of 35</t>
  </si>
  <si>
    <t>From 12.1 to 19 out of 25</t>
  </si>
  <si>
    <t>From 19.1 out of 25</t>
  </si>
  <si>
    <t>From 19.1 to 28 out of 35</t>
  </si>
  <si>
    <t>From 28.1 out of 35</t>
  </si>
  <si>
    <t>Data consistency</t>
  </si>
  <si>
    <t>Business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</si>
</sst>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9" fontId="5" fillId="0" borderId="15" xfId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9" fontId="5" fillId="0" borderId="15" xfId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21" xfId="1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7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3" borderId="10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24" xfId="0" applyBorder="1" applyAlignment="1">
      <alignment vertical="top"/>
    </xf>
    <xf numFmtId="0" fontId="0" fillId="0" borderId="24" xfId="0" applyBorder="1"/>
    <xf numFmtId="0" fontId="2" fillId="0" borderId="0" xfId="0" applyFont="1"/>
    <xf numFmtId="9" fontId="0" fillId="0" borderId="24" xfId="0" applyNumberFormat="1" applyBorder="1" applyAlignment="1">
      <alignment vertical="top"/>
    </xf>
    <xf numFmtId="9" fontId="0" fillId="0" borderId="24" xfId="1" applyFont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2" borderId="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The AI Initiatives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>
        <c:manualLayout>
          <c:layoutTarget val="inner"/>
          <c:xMode val="edge"/>
          <c:yMode val="edge"/>
          <c:x val="6.7091184681591157E-2"/>
          <c:y val="0.11772500000000002"/>
          <c:w val="0.91398566066462672"/>
          <c:h val="0.7597750000000000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0B64041-73FF-3641-84F7-4836FAED28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224-8140-A61D-9F9304CB52A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8703DD-756B-844C-BA4C-EED7FC8A52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24-8140-A61D-9F9304CB52A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DA3CC2-133D-5F43-9EFA-EC78C6F45E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224-8140-A61D-9F9304CB52A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810D995-A8B2-E942-81EF-7A008EB087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224-8140-A61D-9F9304CB52A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18D68B8-30BD-594F-97B8-78EFF5BA0F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224-8140-A61D-9F9304CB52A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4C42ACA-02C4-5E45-A65D-485BF19B36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224-8140-A61D-9F9304CB52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'AI Matrix Positioning'!$C$2:$C$7</c:f>
              <c:numCache>
                <c:formatCode>General</c:formatCode>
                <c:ptCount val="6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xVal>
          <c:yVal>
            <c:numRef>
              <c:f>'AI Matrix Positioning'!$B$2:$B$7</c:f>
              <c:numCache>
                <c:formatCode>General</c:formatCode>
                <c:ptCount val="6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'AI Matrix Positioning'!$A$2:$A$7</c15:f>
                <c15:dlblRangeCache>
                  <c:ptCount val="6"/>
                  <c:pt idx="0">
                    <c:v>Initiative 1</c:v>
                  </c:pt>
                  <c:pt idx="1">
                    <c:v>Initiative 2</c:v>
                  </c:pt>
                  <c:pt idx="2">
                    <c:v>Initiative 3</c:v>
                  </c:pt>
                  <c:pt idx="3">
                    <c:v>Initiative 4</c:v>
                  </c:pt>
                  <c:pt idx="4">
                    <c:v>Initiative 5</c:v>
                  </c:pt>
                  <c:pt idx="5">
                    <c:v>Initiative "n"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224-8140-A61D-9F9304CB5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899600"/>
        <c:axId val="400901248"/>
      </c:scatterChart>
      <c:valAx>
        <c:axId val="400899600"/>
        <c:scaling>
          <c:orientation val="minMax"/>
          <c:max val="35"/>
          <c:min val="1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00901248"/>
        <c:crosses val="autoZero"/>
        <c:crossBetween val="midCat"/>
        <c:majorUnit val="9"/>
      </c:valAx>
      <c:valAx>
        <c:axId val="400901248"/>
        <c:scaling>
          <c:orientation val="minMax"/>
          <c:max val="25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00899600"/>
        <c:crossesAt val="0"/>
        <c:crossBetween val="midCat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737643</xdr:colOff>
      <xdr:row>0</xdr:row>
      <xdr:rowOff>188263</xdr:rowOff>
    </xdr:from>
    <xdr:to>
      <xdr:col>13</xdr:col>
      <xdr:colOff>761967</xdr:colOff>
      <xdr:row>27</xdr:row>
      <xdr:rowOff>100712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0870754-FF5A-ACF3-38A0-4299DFDFD742}"/>
            </a:ext>
          </a:extLst>
        </xdr:cNvPr>
        <xdr:cNvGrpSpPr/>
      </xdr:nvGrpSpPr>
      <xdr:grpSpPr>
        <a:xfrm>
          <a:off x="7557543" y="188263"/>
          <a:ext cx="7453824" cy="6249749"/>
          <a:chOff x="8418531" y="26135"/>
          <a:chExt cx="7491924" cy="6244975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C78C3FFB-75A5-53B8-BDA0-50E1901989AD}"/>
              </a:ext>
            </a:extLst>
          </xdr:cNvPr>
          <xdr:cNvGraphicFramePr/>
        </xdr:nvGraphicFramePr>
        <xdr:xfrm>
          <a:off x="8490230" y="26135"/>
          <a:ext cx="7420225" cy="6244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5B54C3D5-E81C-2D57-BB82-67835E8C0709}"/>
              </a:ext>
            </a:extLst>
          </xdr:cNvPr>
          <xdr:cNvSpPr/>
        </xdr:nvSpPr>
        <xdr:spPr>
          <a:xfrm>
            <a:off x="8995115" y="2925804"/>
            <a:ext cx="3588379" cy="2584001"/>
          </a:xfrm>
          <a:prstGeom prst="rect">
            <a:avLst/>
          </a:prstGeom>
          <a:solidFill>
            <a:srgbClr val="C00000">
              <a:alpha val="28854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828A7BA2-78D3-67DD-2946-8D664B86CC57}"/>
              </a:ext>
            </a:extLst>
          </xdr:cNvPr>
          <xdr:cNvSpPr txBox="1"/>
        </xdr:nvSpPr>
        <xdr:spPr>
          <a:xfrm>
            <a:off x="9620587" y="3855554"/>
            <a:ext cx="2259685" cy="5640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Area of stand-by initiatives</a:t>
            </a:r>
            <a:r>
              <a:rPr lang="en-US" sz="1100" b="1" baseline="0"/>
              <a:t> </a:t>
            </a:r>
          </a:p>
          <a:p>
            <a:pPr algn="ctr"/>
            <a:r>
              <a:rPr lang="en-US" sz="1100" baseline="0"/>
              <a:t>(to be monitored and re-evaluated)</a:t>
            </a:r>
            <a:endParaRPr 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A25CB80-0CE3-694F-B12D-80971C1AB729}"/>
              </a:ext>
            </a:extLst>
          </xdr:cNvPr>
          <xdr:cNvSpPr txBox="1"/>
        </xdr:nvSpPr>
        <xdr:spPr>
          <a:xfrm>
            <a:off x="9731548" y="5588341"/>
            <a:ext cx="654550" cy="318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Low</a:t>
            </a:r>
            <a:endParaRPr 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3B5BBCD-68DF-9F0C-ED13-226B986A6C8D}"/>
              </a:ext>
            </a:extLst>
          </xdr:cNvPr>
          <xdr:cNvSpPr txBox="1"/>
        </xdr:nvSpPr>
        <xdr:spPr>
          <a:xfrm>
            <a:off x="12282598" y="5588341"/>
            <a:ext cx="724684" cy="318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Mid</a:t>
            </a:r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C3D657D-DA06-CB22-B7EE-846A29407403}"/>
              </a:ext>
            </a:extLst>
          </xdr:cNvPr>
          <xdr:cNvSpPr txBox="1"/>
        </xdr:nvSpPr>
        <xdr:spPr>
          <a:xfrm>
            <a:off x="14413118" y="5588341"/>
            <a:ext cx="720429" cy="318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High</a:t>
            </a:r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80DBEA5-D9C8-C644-8AF2-B99154876050}"/>
              </a:ext>
            </a:extLst>
          </xdr:cNvPr>
          <xdr:cNvSpPr txBox="1"/>
        </xdr:nvSpPr>
        <xdr:spPr>
          <a:xfrm>
            <a:off x="8418531" y="4419052"/>
            <a:ext cx="654550" cy="318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Low</a:t>
            </a:r>
            <a:endParaRPr lang="en-US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6BAF460-7931-FD4F-A440-FE37053DC616}"/>
              </a:ext>
            </a:extLst>
          </xdr:cNvPr>
          <xdr:cNvSpPr txBox="1"/>
        </xdr:nvSpPr>
        <xdr:spPr>
          <a:xfrm>
            <a:off x="8496743" y="2748521"/>
            <a:ext cx="447067" cy="318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Mid</a:t>
            </a:r>
            <a:endParaRPr lang="en-US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4FCB732-B368-C243-84E8-BD1792C39925}"/>
              </a:ext>
            </a:extLst>
          </xdr:cNvPr>
          <xdr:cNvSpPr txBox="1"/>
        </xdr:nvSpPr>
        <xdr:spPr>
          <a:xfrm>
            <a:off x="8487154" y="1156053"/>
            <a:ext cx="491773" cy="3183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High</a:t>
            </a:r>
            <a:endParaRPr lang="en-US" sz="1100"/>
          </a:p>
        </xdr:txBody>
      </xdr: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724D0BE0-8198-6379-BC93-BCA88421A5FB}"/>
              </a:ext>
            </a:extLst>
          </xdr:cNvPr>
          <xdr:cNvCxnSpPr/>
        </xdr:nvCxnSpPr>
        <xdr:spPr>
          <a:xfrm flipH="1">
            <a:off x="11433317" y="780162"/>
            <a:ext cx="12700" cy="4737100"/>
          </a:xfrm>
          <a:prstGeom prst="line">
            <a:avLst/>
          </a:prstGeom>
          <a:ln>
            <a:solidFill>
              <a:schemeClr val="bg1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3D7A1213-436F-424F-A4ED-EC9AE20B9C9F}"/>
              </a:ext>
            </a:extLst>
          </xdr:cNvPr>
          <xdr:cNvCxnSpPr/>
        </xdr:nvCxnSpPr>
        <xdr:spPr>
          <a:xfrm flipH="1">
            <a:off x="13871329" y="798776"/>
            <a:ext cx="12700" cy="4734773"/>
          </a:xfrm>
          <a:prstGeom prst="line">
            <a:avLst/>
          </a:prstGeom>
          <a:ln>
            <a:solidFill>
              <a:schemeClr val="bg1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4318-8973-1B4C-B0FD-31CA65DC7AC9}">
  <dimension ref="A1:P18"/>
  <sheetViews>
    <sheetView showGridLines="0" tabSelected="1" zoomScale="120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A2"/>
    </sheetView>
  </sheetViews>
  <sheetFormatPr baseColWidth="10" defaultRowHeight="16" x14ac:dyDescent="0.2"/>
  <cols>
    <col min="1" max="1" width="28.6640625" customWidth="1"/>
    <col min="3" max="16" width="18.1640625" customWidth="1"/>
  </cols>
  <sheetData>
    <row r="1" spans="1:16" ht="19" customHeight="1" x14ac:dyDescent="0.2">
      <c r="A1" s="43"/>
      <c r="B1" s="45" t="s">
        <v>8</v>
      </c>
      <c r="C1" s="41" t="s">
        <v>0</v>
      </c>
      <c r="D1" s="42"/>
      <c r="E1" s="47" t="s">
        <v>1</v>
      </c>
      <c r="F1" s="42"/>
      <c r="G1" s="41" t="s">
        <v>22</v>
      </c>
      <c r="H1" s="42"/>
      <c r="I1" s="41" t="s">
        <v>23</v>
      </c>
      <c r="J1" s="42"/>
      <c r="K1" s="41" t="s">
        <v>24</v>
      </c>
      <c r="L1" s="42"/>
      <c r="M1" s="41" t="s">
        <v>25</v>
      </c>
      <c r="N1" s="42"/>
      <c r="O1" s="41" t="s">
        <v>26</v>
      </c>
      <c r="P1" s="42"/>
    </row>
    <row r="2" spans="1:16" ht="19" customHeight="1" thickBot="1" x14ac:dyDescent="0.25">
      <c r="A2" s="44"/>
      <c r="B2" s="46"/>
      <c r="C2" s="28" t="s">
        <v>21</v>
      </c>
      <c r="D2" s="29" t="s">
        <v>5</v>
      </c>
      <c r="E2" s="30" t="s">
        <v>21</v>
      </c>
      <c r="F2" s="31" t="s">
        <v>5</v>
      </c>
      <c r="G2" s="28" t="s">
        <v>21</v>
      </c>
      <c r="H2" s="29" t="s">
        <v>5</v>
      </c>
      <c r="I2" s="28" t="s">
        <v>21</v>
      </c>
      <c r="J2" s="29" t="s">
        <v>5</v>
      </c>
      <c r="K2" s="28" t="s">
        <v>21</v>
      </c>
      <c r="L2" s="29" t="s">
        <v>5</v>
      </c>
      <c r="M2" s="28" t="s">
        <v>21</v>
      </c>
      <c r="N2" s="29" t="s">
        <v>5</v>
      </c>
      <c r="O2" s="28" t="s">
        <v>21</v>
      </c>
      <c r="P2" s="29" t="s">
        <v>5</v>
      </c>
    </row>
    <row r="3" spans="1:16" ht="25" customHeight="1" x14ac:dyDescent="0.2">
      <c r="A3" s="39" t="s">
        <v>6</v>
      </c>
      <c r="B3" s="19"/>
      <c r="C3" s="20"/>
      <c r="D3" s="21"/>
      <c r="E3" s="22"/>
      <c r="F3" s="21"/>
      <c r="G3" s="20"/>
      <c r="H3" s="21"/>
      <c r="I3" s="20"/>
      <c r="J3" s="21"/>
      <c r="K3" s="20"/>
      <c r="L3" s="21"/>
      <c r="M3" s="20"/>
      <c r="N3" s="21"/>
      <c r="O3" s="20"/>
      <c r="P3" s="21"/>
    </row>
    <row r="4" spans="1:16" ht="20" customHeight="1" x14ac:dyDescent="0.2">
      <c r="A4" s="1" t="s">
        <v>11</v>
      </c>
      <c r="B4" s="1">
        <v>5</v>
      </c>
      <c r="C4" s="2">
        <v>4</v>
      </c>
      <c r="D4" s="3">
        <f>C4/$B4</f>
        <v>0.8</v>
      </c>
      <c r="E4" s="2"/>
      <c r="F4" s="3">
        <f>E4/$B4</f>
        <v>0</v>
      </c>
      <c r="G4" s="2"/>
      <c r="H4" s="3">
        <f>G4/$B4</f>
        <v>0</v>
      </c>
      <c r="I4" s="2"/>
      <c r="J4" s="3">
        <f>I4/$B4</f>
        <v>0</v>
      </c>
      <c r="K4" s="2"/>
      <c r="L4" s="3">
        <f>K4/$B4</f>
        <v>0</v>
      </c>
      <c r="M4" s="2"/>
      <c r="N4" s="3">
        <f>M4/$B4</f>
        <v>0</v>
      </c>
      <c r="O4" s="2"/>
      <c r="P4" s="3">
        <f>O4/$B4</f>
        <v>0</v>
      </c>
    </row>
    <row r="5" spans="1:16" ht="20" customHeight="1" x14ac:dyDescent="0.2">
      <c r="A5" s="1" t="s">
        <v>39</v>
      </c>
      <c r="B5" s="1">
        <v>5</v>
      </c>
      <c r="C5" s="7">
        <v>3</v>
      </c>
      <c r="D5" s="6">
        <f>C5/$B5</f>
        <v>0.6</v>
      </c>
      <c r="E5" s="7"/>
      <c r="F5" s="6">
        <f>E5/$B5</f>
        <v>0</v>
      </c>
      <c r="G5" s="7"/>
      <c r="H5" s="6">
        <f>G5/$B5</f>
        <v>0</v>
      </c>
      <c r="I5" s="7"/>
      <c r="J5" s="6">
        <f>I5/$B5</f>
        <v>0</v>
      </c>
      <c r="K5" s="7"/>
      <c r="L5" s="6">
        <f>K5/$B5</f>
        <v>0</v>
      </c>
      <c r="M5" s="7"/>
      <c r="N5" s="6">
        <f>M5/$B5</f>
        <v>0</v>
      </c>
      <c r="O5" s="7"/>
      <c r="P5" s="6">
        <f>O5/$B5</f>
        <v>0</v>
      </c>
    </row>
    <row r="6" spans="1:16" ht="20" customHeight="1" x14ac:dyDescent="0.2">
      <c r="A6" s="1" t="s">
        <v>12</v>
      </c>
      <c r="B6" s="4">
        <v>5</v>
      </c>
      <c r="C6" s="5">
        <v>4</v>
      </c>
      <c r="D6" s="6">
        <f t="shared" ref="D6:P10" si="0">C6/$B6</f>
        <v>0.8</v>
      </c>
      <c r="E6" s="5"/>
      <c r="F6" s="6">
        <f t="shared" si="0"/>
        <v>0</v>
      </c>
      <c r="G6" s="5"/>
      <c r="H6" s="6">
        <f t="shared" si="0"/>
        <v>0</v>
      </c>
      <c r="I6" s="5"/>
      <c r="J6" s="6">
        <f t="shared" si="0"/>
        <v>0</v>
      </c>
      <c r="K6" s="5"/>
      <c r="L6" s="6">
        <f t="shared" si="0"/>
        <v>0</v>
      </c>
      <c r="M6" s="5"/>
      <c r="N6" s="6">
        <f t="shared" si="0"/>
        <v>0</v>
      </c>
      <c r="O6" s="5"/>
      <c r="P6" s="6">
        <f t="shared" si="0"/>
        <v>0</v>
      </c>
    </row>
    <row r="7" spans="1:16" ht="20" customHeight="1" x14ac:dyDescent="0.2">
      <c r="A7" s="1" t="s">
        <v>13</v>
      </c>
      <c r="B7" s="1">
        <v>5</v>
      </c>
      <c r="C7" s="7">
        <v>4</v>
      </c>
      <c r="D7" s="6">
        <f t="shared" si="0"/>
        <v>0.8</v>
      </c>
      <c r="E7" s="7"/>
      <c r="F7" s="6">
        <f t="shared" si="0"/>
        <v>0</v>
      </c>
      <c r="G7" s="7"/>
      <c r="H7" s="6">
        <f t="shared" si="0"/>
        <v>0</v>
      </c>
      <c r="I7" s="7"/>
      <c r="J7" s="6">
        <f t="shared" si="0"/>
        <v>0</v>
      </c>
      <c r="K7" s="7"/>
      <c r="L7" s="6">
        <f t="shared" si="0"/>
        <v>0</v>
      </c>
      <c r="M7" s="7"/>
      <c r="N7" s="6">
        <f t="shared" si="0"/>
        <v>0</v>
      </c>
      <c r="O7" s="7"/>
      <c r="P7" s="6">
        <f t="shared" si="0"/>
        <v>0</v>
      </c>
    </row>
    <row r="8" spans="1:16" ht="20" customHeight="1" x14ac:dyDescent="0.2">
      <c r="A8" s="1" t="s">
        <v>16</v>
      </c>
      <c r="B8" s="1">
        <v>5</v>
      </c>
      <c r="C8" s="11">
        <v>3</v>
      </c>
      <c r="D8" s="6">
        <f>C8/$B8</f>
        <v>0.6</v>
      </c>
      <c r="E8" s="11"/>
      <c r="F8" s="6">
        <f>E8/$B8</f>
        <v>0</v>
      </c>
      <c r="G8" s="11"/>
      <c r="H8" s="6">
        <f>G8/$B8</f>
        <v>0</v>
      </c>
      <c r="I8" s="11"/>
      <c r="J8" s="6">
        <f>I8/$B8</f>
        <v>0</v>
      </c>
      <c r="K8" s="11"/>
      <c r="L8" s="6">
        <f>K8/$B8</f>
        <v>0</v>
      </c>
      <c r="M8" s="11"/>
      <c r="N8" s="6">
        <f>M8/$B8</f>
        <v>0</v>
      </c>
      <c r="O8" s="11"/>
      <c r="P8" s="6">
        <f>O8/$B8</f>
        <v>0</v>
      </c>
    </row>
    <row r="9" spans="1:16" ht="20" customHeight="1" x14ac:dyDescent="0.2">
      <c r="A9" s="1" t="s">
        <v>15</v>
      </c>
      <c r="B9" s="1">
        <v>5</v>
      </c>
      <c r="C9" s="7">
        <v>4</v>
      </c>
      <c r="D9" s="6">
        <f>C9/$B9</f>
        <v>0.8</v>
      </c>
      <c r="E9" s="7"/>
      <c r="F9" s="6">
        <f>E9/$B9</f>
        <v>0</v>
      </c>
      <c r="G9" s="7"/>
      <c r="H9" s="6">
        <f>G9/$B9</f>
        <v>0</v>
      </c>
      <c r="I9" s="7"/>
      <c r="J9" s="6">
        <f>I9/$B9</f>
        <v>0</v>
      </c>
      <c r="K9" s="7"/>
      <c r="L9" s="6">
        <f>K9/$B9</f>
        <v>0</v>
      </c>
      <c r="M9" s="7"/>
      <c r="N9" s="6">
        <f>M9/$B9</f>
        <v>0</v>
      </c>
      <c r="O9" s="7"/>
      <c r="P9" s="6">
        <f>O9/$B9</f>
        <v>0</v>
      </c>
    </row>
    <row r="10" spans="1:16" ht="20" customHeight="1" x14ac:dyDescent="0.2">
      <c r="A10" s="1" t="s">
        <v>14</v>
      </c>
      <c r="B10" s="1">
        <v>5</v>
      </c>
      <c r="C10" s="7">
        <v>5</v>
      </c>
      <c r="D10" s="6">
        <f t="shared" si="0"/>
        <v>1</v>
      </c>
      <c r="E10" s="7"/>
      <c r="F10" s="6">
        <f t="shared" si="0"/>
        <v>0</v>
      </c>
      <c r="G10" s="7"/>
      <c r="H10" s="6">
        <f t="shared" si="0"/>
        <v>0</v>
      </c>
      <c r="I10" s="7"/>
      <c r="J10" s="6">
        <f t="shared" si="0"/>
        <v>0</v>
      </c>
      <c r="K10" s="7"/>
      <c r="L10" s="6">
        <f t="shared" si="0"/>
        <v>0</v>
      </c>
      <c r="M10" s="7"/>
      <c r="N10" s="6">
        <f t="shared" si="0"/>
        <v>0</v>
      </c>
      <c r="O10" s="7"/>
      <c r="P10" s="6">
        <f t="shared" si="0"/>
        <v>0</v>
      </c>
    </row>
    <row r="11" spans="1:16" ht="20" customHeight="1" x14ac:dyDescent="0.2">
      <c r="A11" s="32" t="s">
        <v>9</v>
      </c>
      <c r="B11" s="8">
        <f>SUM(B4:B10)</f>
        <v>35</v>
      </c>
      <c r="C11" s="9">
        <f>SUM(C4,C6,C8,C9)+IF(C5&gt;2,C5,C5*0.5)+IF(C7&gt;2,C7,C7*0.5)+IF(C10&gt;2,C10,C10*0.5)</f>
        <v>27</v>
      </c>
      <c r="D11" s="10">
        <f>C11/$B$11</f>
        <v>0.77142857142857146</v>
      </c>
      <c r="E11" s="9">
        <f>SUM(E4,E6,E8,E9)+IF(E5&gt;2,E5,E5*0.5)+IF(E7&gt;2,E7,E7*0.5)+IF(E10&gt;2,E10,E10*0.5)</f>
        <v>0</v>
      </c>
      <c r="F11" s="10">
        <f>E11/$B$11</f>
        <v>0</v>
      </c>
      <c r="G11" s="9">
        <f>SUM(G4,G6,G8,G9)+IF(G5&gt;2,G5,G5*0.5)+IF(G7&gt;2,G7,G7*0.5)+IF(G10&gt;2,G10,G10*0.5)</f>
        <v>0</v>
      </c>
      <c r="H11" s="10">
        <f>G11/$B$11</f>
        <v>0</v>
      </c>
      <c r="I11" s="9">
        <f>SUM(I4,I6,I8,I9)+IF(I5&gt;2,I5,I5*0.5)+IF(I7&gt;2,I7,I7*0.5)+IF(I10&gt;2,I10,I10*0.5)</f>
        <v>0</v>
      </c>
      <c r="J11" s="10">
        <f>I11/$B$11</f>
        <v>0</v>
      </c>
      <c r="K11" s="9">
        <f>SUM(K4,K6,K8,K9)+IF(K5&gt;2,K5,K5*0.5)+IF(K7&gt;2,K7,K7*0.5)+IF(K10&gt;2,K10,K10*0.5)</f>
        <v>0</v>
      </c>
      <c r="L11" s="10">
        <f>K11/$B$11</f>
        <v>0</v>
      </c>
      <c r="M11" s="9">
        <f>SUM(M4,M6,M8,M9)+IF(M5&gt;2,M5,M5*0.5)+IF(M7&gt;2,M7,M7*0.5)+IF(M10&gt;2,M10,M10*0.5)</f>
        <v>0</v>
      </c>
      <c r="N11" s="10">
        <f>M11/$B$11</f>
        <v>0</v>
      </c>
      <c r="O11" s="9">
        <f>SUM(O4,O6,O8,O9)+IF(O5&gt;2,O5,O5*0.5)+IF(O7&gt;2,O7,O7*0.5)+IF(O10&gt;2,O10,O10*0.5)</f>
        <v>0</v>
      </c>
      <c r="P11" s="10">
        <f>O11/$B$11</f>
        <v>0</v>
      </c>
    </row>
    <row r="12" spans="1:16" ht="25" customHeight="1" x14ac:dyDescent="0.2">
      <c r="A12" s="40" t="s">
        <v>7</v>
      </c>
      <c r="B12" s="23"/>
      <c r="C12" s="24"/>
      <c r="D12" s="25"/>
      <c r="E12" s="26"/>
      <c r="F12" s="25"/>
      <c r="G12" s="27"/>
      <c r="H12" s="25"/>
      <c r="I12" s="27"/>
      <c r="J12" s="25"/>
      <c r="K12" s="27"/>
      <c r="L12" s="25"/>
      <c r="M12" s="27"/>
      <c r="N12" s="25"/>
      <c r="O12" s="27"/>
      <c r="P12" s="25"/>
    </row>
    <row r="13" spans="1:16" ht="20" customHeight="1" x14ac:dyDescent="0.2">
      <c r="A13" s="1" t="s">
        <v>40</v>
      </c>
      <c r="B13" s="1">
        <v>5</v>
      </c>
      <c r="C13" s="2">
        <v>4</v>
      </c>
      <c r="D13" s="6">
        <f>C13/$B13</f>
        <v>0.8</v>
      </c>
      <c r="E13" s="15"/>
      <c r="F13" s="6">
        <f>E13/$B13</f>
        <v>0</v>
      </c>
      <c r="G13" s="15"/>
      <c r="H13" s="6">
        <f>G13/$B13</f>
        <v>0</v>
      </c>
      <c r="I13" s="15"/>
      <c r="J13" s="6">
        <f>I13/$B13</f>
        <v>0</v>
      </c>
      <c r="K13" s="15"/>
      <c r="L13" s="6">
        <f>K13/$B13</f>
        <v>0</v>
      </c>
      <c r="M13" s="15"/>
      <c r="N13" s="6">
        <f>M13/$B13</f>
        <v>0</v>
      </c>
      <c r="O13" s="15"/>
      <c r="P13" s="6">
        <f>O13/$B13</f>
        <v>0</v>
      </c>
    </row>
    <row r="14" spans="1:16" ht="20" customHeight="1" x14ac:dyDescent="0.2">
      <c r="A14" s="1" t="s">
        <v>17</v>
      </c>
      <c r="B14" s="4">
        <v>5</v>
      </c>
      <c r="C14" s="2">
        <v>2</v>
      </c>
      <c r="D14" s="6">
        <f>C14/$B14</f>
        <v>0.4</v>
      </c>
      <c r="E14" s="16"/>
      <c r="F14" s="6">
        <f>E14/$B14</f>
        <v>0</v>
      </c>
      <c r="G14" s="16"/>
      <c r="H14" s="6">
        <f>G14/$B14</f>
        <v>0</v>
      </c>
      <c r="I14" s="16"/>
      <c r="J14" s="6">
        <f>I14/$B14</f>
        <v>0</v>
      </c>
      <c r="K14" s="16"/>
      <c r="L14" s="6">
        <f>K14/$B14</f>
        <v>0</v>
      </c>
      <c r="M14" s="16"/>
      <c r="N14" s="6">
        <f>M14/$B14</f>
        <v>0</v>
      </c>
      <c r="O14" s="16"/>
      <c r="P14" s="6">
        <f>O14/$B14</f>
        <v>0</v>
      </c>
    </row>
    <row r="15" spans="1:16" ht="20" customHeight="1" x14ac:dyDescent="0.2">
      <c r="A15" s="1" t="s">
        <v>18</v>
      </c>
      <c r="B15" s="1">
        <v>5</v>
      </c>
      <c r="C15" s="2">
        <v>4</v>
      </c>
      <c r="D15" s="6">
        <f>C15/$B15</f>
        <v>0.8</v>
      </c>
      <c r="E15" s="17"/>
      <c r="F15" s="6">
        <f>E15/$B15</f>
        <v>0</v>
      </c>
      <c r="G15" s="17"/>
      <c r="H15" s="6">
        <f>G15/$B15</f>
        <v>0</v>
      </c>
      <c r="I15" s="17"/>
      <c r="J15" s="6">
        <f>I15/$B15</f>
        <v>0</v>
      </c>
      <c r="K15" s="17"/>
      <c r="L15" s="6">
        <f>K15/$B15</f>
        <v>0</v>
      </c>
      <c r="M15" s="17"/>
      <c r="N15" s="6">
        <f>M15/$B15</f>
        <v>0</v>
      </c>
      <c r="O15" s="17"/>
      <c r="P15" s="6">
        <f>O15/$B15</f>
        <v>0</v>
      </c>
    </row>
    <row r="16" spans="1:16" ht="20" customHeight="1" x14ac:dyDescent="0.2">
      <c r="A16" s="1" t="s">
        <v>19</v>
      </c>
      <c r="B16" s="1">
        <v>5</v>
      </c>
      <c r="C16" s="2">
        <v>3</v>
      </c>
      <c r="D16" s="6">
        <f t="shared" ref="D16:F17" si="1">C16/$B16</f>
        <v>0.6</v>
      </c>
      <c r="E16" s="17"/>
      <c r="F16" s="6">
        <f t="shared" si="1"/>
        <v>0</v>
      </c>
      <c r="G16" s="17"/>
      <c r="H16" s="6">
        <f t="shared" ref="H16" si="2">G16/$B16</f>
        <v>0</v>
      </c>
      <c r="I16" s="17"/>
      <c r="J16" s="6">
        <f t="shared" ref="J16" si="3">I16/$B16</f>
        <v>0</v>
      </c>
      <c r="K16" s="17"/>
      <c r="L16" s="6">
        <f t="shared" ref="L16" si="4">K16/$B16</f>
        <v>0</v>
      </c>
      <c r="M16" s="17"/>
      <c r="N16" s="6">
        <f t="shared" ref="N16" si="5">M16/$B16</f>
        <v>0</v>
      </c>
      <c r="O16" s="17"/>
      <c r="P16" s="6">
        <f t="shared" ref="P16" si="6">O16/$B16</f>
        <v>0</v>
      </c>
    </row>
    <row r="17" spans="1:16" ht="20" customHeight="1" x14ac:dyDescent="0.2">
      <c r="A17" s="1" t="s">
        <v>20</v>
      </c>
      <c r="B17" s="1">
        <v>5</v>
      </c>
      <c r="C17" s="2">
        <v>4</v>
      </c>
      <c r="D17" s="6">
        <f t="shared" si="1"/>
        <v>0.8</v>
      </c>
      <c r="E17" s="17"/>
      <c r="F17" s="6">
        <f t="shared" si="1"/>
        <v>0</v>
      </c>
      <c r="G17" s="17"/>
      <c r="H17" s="6">
        <f t="shared" ref="H17" si="7">G17/$B17</f>
        <v>0</v>
      </c>
      <c r="I17" s="17"/>
      <c r="J17" s="6">
        <f t="shared" ref="J17" si="8">I17/$B17</f>
        <v>0</v>
      </c>
      <c r="K17" s="17"/>
      <c r="L17" s="6">
        <f t="shared" ref="L17" si="9">K17/$B17</f>
        <v>0</v>
      </c>
      <c r="M17" s="17"/>
      <c r="N17" s="6">
        <f t="shared" ref="N17" si="10">M17/$B17</f>
        <v>0</v>
      </c>
      <c r="O17" s="17"/>
      <c r="P17" s="6">
        <f t="shared" ref="P17" si="11">O17/$B17</f>
        <v>0</v>
      </c>
    </row>
    <row r="18" spans="1:16" ht="20" customHeight="1" thickBot="1" x14ac:dyDescent="0.25">
      <c r="A18" s="12" t="s">
        <v>10</v>
      </c>
      <c r="B18" s="12">
        <f>SUM(B13:B17)</f>
        <v>25</v>
      </c>
      <c r="C18" s="13">
        <f>IF(SUM(C13:C16)&gt;6,SUM(C13:C17),SUM(C13:C16)+C17*0.5)</f>
        <v>17</v>
      </c>
      <c r="D18" s="14">
        <f>C18/$B$18</f>
        <v>0.68</v>
      </c>
      <c r="E18" s="13">
        <f>IF(SUM(E13:E16)&gt;6,SUM(E13:E17),SUM(E13:E16)+E17*0.5)</f>
        <v>0</v>
      </c>
      <c r="F18" s="14">
        <f>E18/$B$18</f>
        <v>0</v>
      </c>
      <c r="G18" s="13">
        <f>IF(SUM(G13:G16)&gt;6,SUM(G13:G17),SUM(G13:G16)+G17*0.5)</f>
        <v>0</v>
      </c>
      <c r="H18" s="14">
        <f>G18/$B$18</f>
        <v>0</v>
      </c>
      <c r="I18" s="13">
        <f>IF(SUM(I13:I16)&gt;6,SUM(I13:I17),SUM(I13:I16)+I17*0.5)</f>
        <v>0</v>
      </c>
      <c r="J18" s="14">
        <f>I18/$B$18</f>
        <v>0</v>
      </c>
      <c r="K18" s="13">
        <f>IF(SUM(K13:K16)&gt;6,SUM(K13:K17),SUM(K13:K16)+K17*0.5)</f>
        <v>0</v>
      </c>
      <c r="L18" s="14">
        <f>K18/$B$18</f>
        <v>0</v>
      </c>
      <c r="M18" s="13">
        <f>IF(SUM(M13:M16)&gt;6,SUM(M13:M17),SUM(M13:M16)+M17*0.5)</f>
        <v>0</v>
      </c>
      <c r="N18" s="14">
        <f>M18/$B$18</f>
        <v>0</v>
      </c>
      <c r="O18" s="13">
        <f>IF(SUM(O13:O16)&gt;6,SUM(O13:O17),SUM(O13:O16)+O17*0.5)</f>
        <v>0</v>
      </c>
      <c r="P18" s="14">
        <f>O18/$B$18</f>
        <v>0</v>
      </c>
    </row>
  </sheetData>
  <mergeCells count="9">
    <mergeCell ref="K1:L1"/>
    <mergeCell ref="M1:N1"/>
    <mergeCell ref="O1:P1"/>
    <mergeCell ref="A1:A2"/>
    <mergeCell ref="B1:B2"/>
    <mergeCell ref="C1:D1"/>
    <mergeCell ref="E1:F1"/>
    <mergeCell ref="G1:H1"/>
    <mergeCell ref="I1:J1"/>
  </mergeCells>
  <dataValidations count="8">
    <dataValidation allowBlank="1" showInputMessage="1" showErrorMessage="1" prompt="1 = No impact_x000a_2 = Limited_x000a_3 = Moderate_x000a_4 = High_x000a_5 = Very high" sqref="B13:B17" xr:uid="{C5CFFAE2-54C9-134F-A703-39EC8A9B83B6}"/>
    <dataValidation allowBlank="1" showInputMessage="1" showErrorMessage="1" prompt="1 = Research_x000a_2 = Beta_x000a_3 = Initial availablity_x000a_4 = General availability_x000a_5 = Mainstream" sqref="B4" xr:uid="{A58B9016-AD21-2440-9C2E-58DFEC1A6B22}"/>
    <dataValidation allowBlank="1" showInputMessage="1" showErrorMessage="1" prompt="1 = Blocking limitations_x000a_2 = High risks_x000a_3 = Neutral_x000a_4 = No roadblocks_x000a_5 = Complete compatibility" sqref="B10" xr:uid="{6D11595D-A271-2A4A-BCB0-7EEBD562B5C4}"/>
    <dataValidation allowBlank="1" showInputMessage="1" showErrorMessage="1" prompt="1 = No consistency_x000a_2 = Low_x000a_3 = Medium_x000a_4 = High_x000a_5 = Complete consistency" sqref="B5" xr:uid="{6BADE595-1BA7-7C47-9AA8-2FB2F47B0245}"/>
    <dataValidation allowBlank="1" showInputMessage="1" showErrorMessage="1" prompt="1 = Not compatible_x000a_2 = Low_x000a_3 = Medium_x000a_4 = High_x000a_5 = Complete compatibility" sqref="B9" xr:uid="{5E90A5EC-5D54-684E-836A-C377D49A765C}"/>
    <dataValidation allowBlank="1" showInputMessage="1" showErrorMessage="1" prompt="1 = Hostile_x000a_2 = Unfavourable_x000a_3 = Neutral_x000a_4 = Enabling_x000a_5 = Perfect fit" sqref="B6:B7 B9" xr:uid="{7482B908-561B-784E-A160-034D7C45A70C}"/>
    <dataValidation allowBlank="1" showInputMessage="1" showErrorMessage="1" prompt="1 = Niche_x000a_2 = Limited_x000a_3 = Moderate_x000a_4 = Diffused_x000a_5 = Mainstream" sqref="B8" xr:uid="{F6E0B34E-1747-7644-82E3-BFBC61ABA883}"/>
    <dataValidation allowBlank="1" showErrorMessage="1" sqref="A4:A10 A13:A17" xr:uid="{D962FB84-E6AC-764C-BA7D-D6E576E23098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7C7E-27CA-BA4A-BD97-3999F7039C4C}">
  <dimension ref="A1:C23"/>
  <sheetViews>
    <sheetView showGridLines="0" zoomScaleNormal="100" workbookViewId="0"/>
  </sheetViews>
  <sheetFormatPr baseColWidth="10" defaultRowHeight="16" x14ac:dyDescent="0.2"/>
  <cols>
    <col min="1" max="1" width="31" customWidth="1"/>
    <col min="2" max="3" width="23.83203125" customWidth="1"/>
  </cols>
  <sheetData>
    <row r="1" spans="1:3" s="18" customFormat="1" ht="23" customHeight="1" x14ac:dyDescent="0.2">
      <c r="A1" s="38" t="s">
        <v>4</v>
      </c>
      <c r="B1" s="38" t="s">
        <v>2</v>
      </c>
      <c r="C1" s="38" t="s">
        <v>3</v>
      </c>
    </row>
    <row r="2" spans="1:3" s="18" customFormat="1" ht="20" customHeight="1" x14ac:dyDescent="0.2">
      <c r="A2" s="33" t="str">
        <f>+Assessment!C1</f>
        <v>Initiative 1</v>
      </c>
      <c r="B2" s="33">
        <f>Assessment!C18</f>
        <v>17</v>
      </c>
      <c r="C2" s="33">
        <f>Assessment!C11</f>
        <v>27</v>
      </c>
    </row>
    <row r="3" spans="1:3" s="18" customFormat="1" ht="20" customHeight="1" x14ac:dyDescent="0.2">
      <c r="A3" s="33" t="str">
        <f>+Assessment!E1</f>
        <v>Initiative 2</v>
      </c>
      <c r="B3" s="33">
        <f>Assessment!E18</f>
        <v>0</v>
      </c>
      <c r="C3" s="33">
        <f>Assessment!E11</f>
        <v>0</v>
      </c>
    </row>
    <row r="4" spans="1:3" ht="20" customHeight="1" x14ac:dyDescent="0.2">
      <c r="A4" s="34" t="str">
        <f>+Assessment!G1</f>
        <v>Initiative 3</v>
      </c>
      <c r="B4" s="34">
        <f>Assessment!G18</f>
        <v>0</v>
      </c>
      <c r="C4" s="34">
        <f>Assessment!G11</f>
        <v>0</v>
      </c>
    </row>
    <row r="5" spans="1:3" ht="20" customHeight="1" x14ac:dyDescent="0.2">
      <c r="A5" s="34" t="str">
        <f>+Assessment!I1</f>
        <v>Initiative 4</v>
      </c>
      <c r="B5" s="34">
        <f>Assessment!I18</f>
        <v>0</v>
      </c>
      <c r="C5" s="34">
        <f>Assessment!I11</f>
        <v>0</v>
      </c>
    </row>
    <row r="6" spans="1:3" ht="20" customHeight="1" x14ac:dyDescent="0.2">
      <c r="A6" s="34" t="str">
        <f>+Assessment!K1</f>
        <v>Initiative 5</v>
      </c>
      <c r="B6" s="34">
        <f>Assessment!K18</f>
        <v>0</v>
      </c>
      <c r="C6" s="34">
        <f>Assessment!K11</f>
        <v>0</v>
      </c>
    </row>
    <row r="7" spans="1:3" ht="20" customHeight="1" x14ac:dyDescent="0.2">
      <c r="A7" s="34" t="s">
        <v>25</v>
      </c>
      <c r="B7" s="34">
        <f>Assessment!M18</f>
        <v>0</v>
      </c>
      <c r="C7" s="34">
        <f>Assessment!M11</f>
        <v>0</v>
      </c>
    </row>
    <row r="14" spans="1:3" s="18" customFormat="1" ht="20" customHeight="1" x14ac:dyDescent="0.2">
      <c r="A14" s="38" t="s">
        <v>27</v>
      </c>
      <c r="B14" s="38" t="s">
        <v>31</v>
      </c>
    </row>
    <row r="15" spans="1:3" s="18" customFormat="1" ht="20" customHeight="1" x14ac:dyDescent="0.2">
      <c r="A15" s="36" t="s">
        <v>32</v>
      </c>
      <c r="B15" s="33" t="s">
        <v>28</v>
      </c>
    </row>
    <row r="16" spans="1:3" s="18" customFormat="1" ht="20" customHeight="1" x14ac:dyDescent="0.2">
      <c r="A16" s="37" t="s">
        <v>35</v>
      </c>
      <c r="B16" s="33" t="s">
        <v>29</v>
      </c>
    </row>
    <row r="17" spans="1:3" s="18" customFormat="1" ht="20" customHeight="1" x14ac:dyDescent="0.2">
      <c r="A17" s="33" t="s">
        <v>36</v>
      </c>
      <c r="B17" s="33" t="s">
        <v>30</v>
      </c>
    </row>
    <row r="18" spans="1:3" s="18" customFormat="1" ht="20" customHeight="1" x14ac:dyDescent="0.2"/>
    <row r="19" spans="1:3" s="18" customFormat="1" ht="20" customHeight="1" x14ac:dyDescent="0.2">
      <c r="A19" s="38" t="s">
        <v>33</v>
      </c>
      <c r="B19" s="38" t="s">
        <v>31</v>
      </c>
    </row>
    <row r="20" spans="1:3" s="18" customFormat="1" ht="20" customHeight="1" x14ac:dyDescent="0.2">
      <c r="A20" s="36" t="s">
        <v>34</v>
      </c>
      <c r="B20" s="33" t="s">
        <v>28</v>
      </c>
    </row>
    <row r="21" spans="1:3" s="18" customFormat="1" ht="20" customHeight="1" x14ac:dyDescent="0.2">
      <c r="A21" s="37" t="s">
        <v>37</v>
      </c>
      <c r="B21" s="33" t="s">
        <v>29</v>
      </c>
    </row>
    <row r="22" spans="1:3" s="18" customFormat="1" ht="20" customHeight="1" x14ac:dyDescent="0.2">
      <c r="A22" s="33" t="s">
        <v>38</v>
      </c>
      <c r="B22" s="33" t="s">
        <v>30</v>
      </c>
    </row>
    <row r="23" spans="1:3" x14ac:dyDescent="0.2">
      <c r="A23" s="35"/>
      <c r="B23" s="35"/>
      <c r="C23" s="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</vt:lpstr>
      <vt:lpstr>AI Matrix Positioning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Lorenzo Diaferia</cp:lastModifiedBy>
  <dcterms:created xsi:type="dcterms:W3CDTF">2022-10-06T18:10:09Z</dcterms:created>
  <dcterms:modified xsi:type="dcterms:W3CDTF">2023-10-11T09:53:36Z</dcterms:modified>
</cp:coreProperties>
</file>